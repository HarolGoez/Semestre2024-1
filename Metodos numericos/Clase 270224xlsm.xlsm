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oli\Semestre2024-1\Metodos numericos\"/>
    </mc:Choice>
  </mc:AlternateContent>
  <xr:revisionPtr revIDLastSave="0" documentId="13_ncr:1_{F848A4EB-A46F-4BD3-B50D-C300B4D3129F}" xr6:coauthVersionLast="47" xr6:coauthVersionMax="47" xr10:uidLastSave="{00000000-0000-0000-0000-000000000000}"/>
  <bookViews>
    <workbookView xWindow="-110" yWindow="-110" windowWidth="25820" windowHeight="13900" activeTab="3" xr2:uid="{4C1DD515-80E8-4B6A-84A3-B7A16321E5E8}"/>
  </bookViews>
  <sheets>
    <sheet name="ejercicio1" sheetId="1" r:id="rId1"/>
    <sheet name="ejercicio2" sheetId="2" r:id="rId2"/>
    <sheet name="ejercicio3" sheetId="3" r:id="rId3"/>
    <sheet name="ejercicio 4" sheetId="4" r:id="rId4"/>
  </sheets>
  <definedNames>
    <definedName name="solver_adj" localSheetId="3" hidden="1">'ejercicio 4'!$E$9:$E$10</definedName>
    <definedName name="solver_adj" localSheetId="0" hidden="1">ejercicio1!$D$7:$D$8</definedName>
    <definedName name="solver_adj" localSheetId="1" hidden="1">ejercicio2!$D$9:$D$10</definedName>
    <definedName name="solver_adj" localSheetId="2" hidden="1">ejercicio3!$D$10:$D$12</definedName>
    <definedName name="solver_cvg" localSheetId="3" hidden="1">0.0001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3" hidden="1">1</definedName>
    <definedName name="solver_drv" localSheetId="0" hidden="1">1</definedName>
    <definedName name="solver_drv" localSheetId="1" hidden="1">2</definedName>
    <definedName name="solver_drv" localSheetId="2" hidden="1">1</definedName>
    <definedName name="solver_eng" localSheetId="3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3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3" hidden="1">2147483647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3" hidden="1">'ejercicio 4'!$G$5:$G$6</definedName>
    <definedName name="solver_lhs1" localSheetId="0" hidden="1">ejercicio1!$F$4:$F$5</definedName>
    <definedName name="solver_lhs1" localSheetId="1" hidden="1">ejercicio2!$F$5:$F$7</definedName>
    <definedName name="solver_lhs1" localSheetId="2" hidden="1">ejercicio3!$G$6:$G$8</definedName>
    <definedName name="solver_mip" localSheetId="3" hidden="1">2147483647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3" hidden="1">30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3" hidden="1">0.075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3" hidden="1">2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3" hidden="1">1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3" hidden="1">2147483647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3" hidden="1">1</definedName>
    <definedName name="solver_num" localSheetId="0" hidden="1">1</definedName>
    <definedName name="solver_num" localSheetId="1" hidden="1">1</definedName>
    <definedName name="solver_num" localSheetId="2" hidden="1">1</definedName>
    <definedName name="solver_nwt" localSheetId="3" hidden="1">1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3" hidden="1">'ejercicio 4'!$G$7</definedName>
    <definedName name="solver_opt" localSheetId="0" hidden="1">ejercicio1!$F$6</definedName>
    <definedName name="solver_opt" localSheetId="1" hidden="1">ejercicio2!$F$8</definedName>
    <definedName name="solver_opt" localSheetId="2" hidden="1">ejercicio3!$G$9</definedName>
    <definedName name="solver_pre" localSheetId="3" hidden="1">0.000001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3" hidden="1">1</definedName>
    <definedName name="solver_rbv" localSheetId="0" hidden="1">1</definedName>
    <definedName name="solver_rbv" localSheetId="1" hidden="1">2</definedName>
    <definedName name="solver_rbv" localSheetId="2" hidden="1">1</definedName>
    <definedName name="solver_rel1" localSheetId="3" hidden="1">1</definedName>
    <definedName name="solver_rel1" localSheetId="0" hidden="1">1</definedName>
    <definedName name="solver_rel1" localSheetId="1" hidden="1">3</definedName>
    <definedName name="solver_rel1" localSheetId="2" hidden="1">1</definedName>
    <definedName name="solver_rhs1" localSheetId="3" hidden="1">'ejercicio 4'!$F$5:$F$6</definedName>
    <definedName name="solver_rhs1" localSheetId="0" hidden="1">ejercicio1!$E$4:$E$5</definedName>
    <definedName name="solver_rhs1" localSheetId="1" hidden="1">ejercicio2!$E$5:$E$7</definedName>
    <definedName name="solver_rhs1" localSheetId="2" hidden="1">ejercicio3!$F$6:$F$8</definedName>
    <definedName name="solver_rlx" localSheetId="3" hidden="1">2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3" hidden="1">0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3" hidden="1">1</definedName>
    <definedName name="solver_scl" localSheetId="0" hidden="1">1</definedName>
    <definedName name="solver_scl" localSheetId="1" hidden="1">2</definedName>
    <definedName name="solver_scl" localSheetId="2" hidden="1">1</definedName>
    <definedName name="solver_sho" localSheetId="3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3" hidden="1">100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3" hidden="1">2147483647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3" hidden="1">0.01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3" hidden="1">1</definedName>
    <definedName name="solver_typ" localSheetId="0" hidden="1">1</definedName>
    <definedName name="solver_typ" localSheetId="1" hidden="1">2</definedName>
    <definedName name="solver_typ" localSheetId="2" hidden="1">1</definedName>
    <definedName name="solver_val" localSheetId="3" hidden="1">0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3" hidden="1">3</definedName>
    <definedName name="solver_ver" localSheetId="0" hidden="1">3</definedName>
    <definedName name="solver_ver" localSheetId="1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6" i="4"/>
  <c r="G5" i="4"/>
  <c r="G8" i="3"/>
  <c r="G9" i="3"/>
  <c r="G7" i="3"/>
  <c r="G6" i="3"/>
  <c r="F6" i="2"/>
  <c r="F7" i="2"/>
  <c r="F8" i="2"/>
  <c r="F5" i="2"/>
  <c r="F6" i="1"/>
  <c r="F5" i="1"/>
  <c r="F4" i="1"/>
</calcChain>
</file>

<file path=xl/sharedStrings.xml><?xml version="1.0" encoding="utf-8"?>
<sst xmlns="http://schemas.openxmlformats.org/spreadsheetml/2006/main" count="44" uniqueCount="26">
  <si>
    <t>x</t>
  </si>
  <si>
    <t>y</t>
  </si>
  <si>
    <t>resultado</t>
  </si>
  <si>
    <t>formula</t>
  </si>
  <si>
    <t>ec1</t>
  </si>
  <si>
    <t>ec2</t>
  </si>
  <si>
    <t>max</t>
  </si>
  <si>
    <t>llavero</t>
  </si>
  <si>
    <t>ruanas</t>
  </si>
  <si>
    <t>a</t>
  </si>
  <si>
    <t>b</t>
  </si>
  <si>
    <t>c</t>
  </si>
  <si>
    <t>min</t>
  </si>
  <si>
    <t>triple 15</t>
  </si>
  <si>
    <t>urea</t>
  </si>
  <si>
    <t>Tipo A</t>
  </si>
  <si>
    <t>Tipo B</t>
  </si>
  <si>
    <t>Tipo C</t>
  </si>
  <si>
    <t>moldear</t>
  </si>
  <si>
    <t>recortar</t>
  </si>
  <si>
    <t>empacar</t>
  </si>
  <si>
    <t>z</t>
  </si>
  <si>
    <t>auditoria</t>
  </si>
  <si>
    <t>devolucion</t>
  </si>
  <si>
    <t>t personal</t>
  </si>
  <si>
    <t>t 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</si>
</sst>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2" fontId="0" fillId="4" borderId="0" xfId="0" applyNumberFormat="1" applyFill="1"/>
    <xf numFmtId="2" fontId="0" fillId="3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2EEBD-2AFC-46DC-8295-8B0A7364095B}">
  <dimension ref="B2:F8"/>
  <sheetViews>
    <sheetView workbookViewId="0">
      <selection activeCell="Q8" sqref="Q8:Q9"/>
    </sheetView>
  </sheetViews>
  <sheetFormatPr baseColWidth="10" defaultRowHeight="14.5" x14ac:dyDescent="0.35"/>
  <sheetData>
    <row r="2" spans="2:6" x14ac:dyDescent="0.35">
      <c r="B2" s="3"/>
      <c r="C2" s="3" t="s">
        <v>7</v>
      </c>
      <c r="D2" s="3" t="s">
        <v>8</v>
      </c>
      <c r="E2" s="3"/>
      <c r="F2" s="3"/>
    </row>
    <row r="3" spans="2:6" x14ac:dyDescent="0.35">
      <c r="B3" s="3"/>
      <c r="C3" s="5" t="s">
        <v>0</v>
      </c>
      <c r="D3" s="5" t="s">
        <v>1</v>
      </c>
      <c r="E3" s="5" t="s">
        <v>2</v>
      </c>
      <c r="F3" s="5" t="s">
        <v>3</v>
      </c>
    </row>
    <row r="4" spans="2:6" x14ac:dyDescent="0.35">
      <c r="B4" s="5" t="s">
        <v>4</v>
      </c>
      <c r="C4" s="5">
        <v>2</v>
      </c>
      <c r="D4" s="5">
        <v>1</v>
      </c>
      <c r="E4" s="5">
        <v>180</v>
      </c>
      <c r="F4" s="5">
        <f>C4*D7+D4*D8</f>
        <v>180</v>
      </c>
    </row>
    <row r="5" spans="2:6" x14ac:dyDescent="0.35">
      <c r="B5" s="5" t="s">
        <v>5</v>
      </c>
      <c r="C5" s="5">
        <v>1</v>
      </c>
      <c r="D5" s="5">
        <v>3</v>
      </c>
      <c r="E5" s="5">
        <v>300</v>
      </c>
      <c r="F5" s="5">
        <f>C5*D7+D5*D8</f>
        <v>300</v>
      </c>
    </row>
    <row r="6" spans="2:6" x14ac:dyDescent="0.35">
      <c r="B6" s="5" t="s">
        <v>6</v>
      </c>
      <c r="C6" s="5">
        <v>1</v>
      </c>
      <c r="D6" s="5">
        <v>1.2</v>
      </c>
      <c r="E6" s="7"/>
      <c r="F6" s="6">
        <f>C6*D7+D6*D8</f>
        <v>148.80000000000001</v>
      </c>
    </row>
    <row r="7" spans="2:6" x14ac:dyDescent="0.35">
      <c r="B7" s="3"/>
      <c r="C7" s="5" t="s">
        <v>0</v>
      </c>
      <c r="D7" s="8">
        <v>48</v>
      </c>
      <c r="E7" s="3"/>
      <c r="F7" s="3"/>
    </row>
    <row r="8" spans="2:6" x14ac:dyDescent="0.35">
      <c r="B8" s="2"/>
      <c r="C8" s="5" t="s">
        <v>1</v>
      </c>
      <c r="D8" s="9">
        <v>84</v>
      </c>
      <c r="E8" s="2"/>
      <c r="F8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127F-A379-4B75-9016-04B1E76E7DDE}">
  <dimension ref="B3:F10"/>
  <sheetViews>
    <sheetView workbookViewId="0">
      <selection activeCell="E24" sqref="E24"/>
    </sheetView>
  </sheetViews>
  <sheetFormatPr baseColWidth="10" defaultRowHeight="14.5" x14ac:dyDescent="0.35"/>
  <sheetData>
    <row r="3" spans="2:6" x14ac:dyDescent="0.35">
      <c r="B3" s="3"/>
      <c r="C3" s="3" t="s">
        <v>13</v>
      </c>
      <c r="D3" s="3" t="s">
        <v>14</v>
      </c>
      <c r="E3" s="3"/>
      <c r="F3" s="3"/>
    </row>
    <row r="4" spans="2:6" x14ac:dyDescent="0.35">
      <c r="B4" s="3"/>
      <c r="C4" s="5" t="s">
        <v>0</v>
      </c>
      <c r="D4" s="5" t="s">
        <v>1</v>
      </c>
      <c r="E4" s="5" t="s">
        <v>2</v>
      </c>
      <c r="F4" s="5" t="s">
        <v>3</v>
      </c>
    </row>
    <row r="5" spans="2:6" x14ac:dyDescent="0.35">
      <c r="B5" s="5" t="s">
        <v>9</v>
      </c>
      <c r="C5" s="5">
        <v>3</v>
      </c>
      <c r="D5" s="5">
        <v>2</v>
      </c>
      <c r="E5" s="5">
        <v>160</v>
      </c>
      <c r="F5" s="5">
        <f>C5*D9+D5*D10</f>
        <v>159.99999999999997</v>
      </c>
    </row>
    <row r="6" spans="2:6" x14ac:dyDescent="0.35">
      <c r="B6" s="5" t="s">
        <v>10</v>
      </c>
      <c r="C6" s="5">
        <v>5</v>
      </c>
      <c r="D6" s="5">
        <v>2</v>
      </c>
      <c r="E6" s="5">
        <v>200</v>
      </c>
      <c r="F6" s="5">
        <f>C6*D9+D6*D10</f>
        <v>264.67965203130228</v>
      </c>
    </row>
    <row r="7" spans="2:6" x14ac:dyDescent="0.35">
      <c r="B7" s="5" t="s">
        <v>11</v>
      </c>
      <c r="C7" s="5">
        <v>1</v>
      </c>
      <c r="D7" s="5">
        <v>2</v>
      </c>
      <c r="E7" s="5">
        <v>80</v>
      </c>
      <c r="F7" s="5">
        <f>C7*D7+D9*D10</f>
        <v>80.000000229142685</v>
      </c>
    </row>
    <row r="8" spans="2:6" x14ac:dyDescent="0.35">
      <c r="B8" s="5" t="s">
        <v>12</v>
      </c>
      <c r="C8" s="5">
        <v>4000</v>
      </c>
      <c r="D8" s="5">
        <v>3000</v>
      </c>
      <c r="E8" s="7"/>
      <c r="F8" s="6">
        <f>C8*D9+D8*D10</f>
        <v>213830.08699217439</v>
      </c>
    </row>
    <row r="9" spans="2:6" x14ac:dyDescent="0.35">
      <c r="B9" s="3"/>
      <c r="C9" s="5" t="s">
        <v>0</v>
      </c>
      <c r="D9" s="8">
        <v>52.339826015651141</v>
      </c>
      <c r="E9" s="3"/>
      <c r="F9" s="3"/>
    </row>
    <row r="10" spans="2:6" x14ac:dyDescent="0.35">
      <c r="B10" s="2"/>
      <c r="C10" s="5" t="s">
        <v>1</v>
      </c>
      <c r="D10" s="9">
        <v>1.490260976523277</v>
      </c>
      <c r="E10" s="2"/>
      <c r="F10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2A98F-7899-4AF5-A586-054FF88D4720}">
  <dimension ref="B4:G12"/>
  <sheetViews>
    <sheetView workbookViewId="0">
      <selection activeCell="G17" sqref="G17"/>
    </sheetView>
  </sheetViews>
  <sheetFormatPr baseColWidth="10" defaultRowHeight="14.5" x14ac:dyDescent="0.35"/>
  <sheetData>
    <row r="4" spans="2:7" x14ac:dyDescent="0.35">
      <c r="B4" s="3"/>
      <c r="C4" s="3"/>
      <c r="D4" s="3"/>
      <c r="E4" s="3"/>
      <c r="F4" s="3"/>
      <c r="G4" s="3"/>
    </row>
    <row r="5" spans="2:7" x14ac:dyDescent="0.35">
      <c r="B5" s="3"/>
      <c r="C5" s="3" t="s">
        <v>15</v>
      </c>
      <c r="D5" s="3" t="s">
        <v>16</v>
      </c>
      <c r="E5" s="3" t="s">
        <v>17</v>
      </c>
      <c r="F5" s="5" t="s">
        <v>2</v>
      </c>
      <c r="G5" s="5" t="s">
        <v>3</v>
      </c>
    </row>
    <row r="6" spans="2:7" x14ac:dyDescent="0.35">
      <c r="B6" s="5" t="s">
        <v>18</v>
      </c>
      <c r="C6" s="10">
        <v>1</v>
      </c>
      <c r="D6" s="10">
        <v>2</v>
      </c>
      <c r="E6" s="10">
        <v>3</v>
      </c>
      <c r="F6" s="10">
        <v>12000</v>
      </c>
      <c r="G6" s="10">
        <f>C6*D10*E6+D6*D11*D12</f>
        <v>0</v>
      </c>
    </row>
    <row r="7" spans="2:7" x14ac:dyDescent="0.35">
      <c r="B7" s="5" t="s">
        <v>19</v>
      </c>
      <c r="C7" s="10">
        <v>0.66666666666666663</v>
      </c>
      <c r="D7" s="10">
        <v>0.66666666666666663</v>
      </c>
      <c r="E7" s="10">
        <v>1</v>
      </c>
      <c r="F7" s="10">
        <v>4600</v>
      </c>
      <c r="G7" s="10">
        <f>C7*D10*E7+D7*D11*D12</f>
        <v>0</v>
      </c>
    </row>
    <row r="8" spans="2:7" x14ac:dyDescent="0.35">
      <c r="B8" s="5" t="s">
        <v>20</v>
      </c>
      <c r="C8" s="10">
        <v>0.5</v>
      </c>
      <c r="D8" s="10">
        <v>0.33333333333333331</v>
      </c>
      <c r="E8" s="10">
        <v>0.5</v>
      </c>
      <c r="F8" s="10">
        <v>2400</v>
      </c>
      <c r="G8" s="10">
        <f>C8*D10+D8*D11+E8*D12</f>
        <v>2400</v>
      </c>
    </row>
    <row r="9" spans="2:7" x14ac:dyDescent="0.35">
      <c r="B9" s="5" t="s">
        <v>6</v>
      </c>
      <c r="C9" s="10">
        <v>11</v>
      </c>
      <c r="D9" s="10">
        <v>16</v>
      </c>
      <c r="E9" s="10">
        <v>13</v>
      </c>
      <c r="F9" s="16"/>
      <c r="G9" s="17">
        <f>C9*D10+D9*D11+E9*D12</f>
        <v>115200.00000000001</v>
      </c>
    </row>
    <row r="10" spans="2:7" x14ac:dyDescent="0.35">
      <c r="B10" s="3"/>
      <c r="C10" s="5" t="s">
        <v>0</v>
      </c>
      <c r="D10" s="11">
        <v>0</v>
      </c>
      <c r="E10" s="12"/>
      <c r="F10" s="3"/>
      <c r="G10" s="3"/>
    </row>
    <row r="11" spans="2:7" x14ac:dyDescent="0.35">
      <c r="B11" s="2"/>
      <c r="C11" s="5" t="s">
        <v>1</v>
      </c>
      <c r="D11" s="13">
        <v>7200.0000000000009</v>
      </c>
      <c r="E11" s="14"/>
      <c r="F11" s="2"/>
      <c r="G11" s="2"/>
    </row>
    <row r="12" spans="2:7" x14ac:dyDescent="0.35">
      <c r="C12" s="4" t="s">
        <v>21</v>
      </c>
      <c r="D12" s="13">
        <v>0</v>
      </c>
      <c r="E12" s="1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BDEB-ECBA-4149-9242-961CD0BCA44D}">
  <dimension ref="C4:G10"/>
  <sheetViews>
    <sheetView tabSelected="1" workbookViewId="0">
      <selection activeCell="F17" sqref="F17"/>
    </sheetView>
  </sheetViews>
  <sheetFormatPr baseColWidth="10" defaultRowHeight="14.5" x14ac:dyDescent="0.35"/>
  <cols>
    <col min="4" max="4" width="14.453125" bestFit="1" customWidth="1"/>
    <col min="5" max="5" width="13.7265625" bestFit="1" customWidth="1"/>
  </cols>
  <sheetData>
    <row r="4" spans="3:7" x14ac:dyDescent="0.35">
      <c r="C4" s="5"/>
      <c r="D4" s="5" t="s">
        <v>22</v>
      </c>
      <c r="E4" s="5" t="s">
        <v>23</v>
      </c>
      <c r="F4" s="5" t="s">
        <v>2</v>
      </c>
      <c r="G4" s="18" t="s">
        <v>3</v>
      </c>
    </row>
    <row r="5" spans="3:7" x14ac:dyDescent="0.35">
      <c r="C5" s="5" t="s">
        <v>24</v>
      </c>
      <c r="D5" s="5">
        <v>100</v>
      </c>
      <c r="E5" s="5">
        <v>12.5</v>
      </c>
      <c r="F5" s="5">
        <v>900</v>
      </c>
      <c r="G5" s="1">
        <f>D5*E9+E5*E10</f>
        <v>900</v>
      </c>
    </row>
    <row r="6" spans="3:7" x14ac:dyDescent="0.35">
      <c r="C6" s="5" t="s">
        <v>25</v>
      </c>
      <c r="D6" s="5">
        <v>10</v>
      </c>
      <c r="E6" s="5">
        <v>2.5</v>
      </c>
      <c r="F6" s="5">
        <v>100</v>
      </c>
      <c r="G6" s="1">
        <f>D6*E9+E6*E10</f>
        <v>100</v>
      </c>
    </row>
    <row r="7" spans="3:7" x14ac:dyDescent="0.35">
      <c r="C7" s="5" t="s">
        <v>6</v>
      </c>
      <c r="D7" s="5">
        <v>2000</v>
      </c>
      <c r="E7" s="5">
        <v>300</v>
      </c>
      <c r="F7" s="5"/>
      <c r="G7" s="1">
        <f>D7*E9+E7*E10</f>
        <v>18400</v>
      </c>
    </row>
    <row r="9" spans="3:7" x14ac:dyDescent="0.35">
      <c r="D9" t="s">
        <v>22</v>
      </c>
      <c r="E9">
        <v>8</v>
      </c>
    </row>
    <row r="10" spans="3:7" x14ac:dyDescent="0.35">
      <c r="D10" t="s">
        <v>23</v>
      </c>
      <c r="E10">
        <v>7.9999999999999982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ejercicio1</vt:lpstr>
      <vt:lpstr>ejercicio2</vt:lpstr>
      <vt:lpstr>ejercicio3</vt:lpstr>
      <vt:lpstr>ejercicio 4</vt:lpstr>
    </vt:vector>
  </TitlesOfParts>
  <Company>Harol Goez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Harol Goez</dc:creator>
  <cp:lastModifiedBy>Harol Goez</cp:lastModifiedBy>
  <dcterms:created xsi:type="dcterms:W3CDTF">2024-02-27T23:03:10Z</dcterms:created>
  <dcterms:modified xsi:type="dcterms:W3CDTF">2024-02-28T00:56:48Z</dcterms:modified>
</cp:coreProperties>
</file>