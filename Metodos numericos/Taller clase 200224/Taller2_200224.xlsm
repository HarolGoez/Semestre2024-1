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li\Semestre2024-1\Metodos numericos\Taller clase 200224\"/>
    </mc:Choice>
  </mc:AlternateContent>
  <xr:revisionPtr revIDLastSave="0" documentId="13_ncr:1_{CF12125A-5036-40AF-B44F-20E95FA91E80}" xr6:coauthVersionLast="47" xr6:coauthVersionMax="47" xr10:uidLastSave="{00000000-0000-0000-0000-000000000000}"/>
  <bookViews>
    <workbookView xWindow="-110" yWindow="-110" windowWidth="25820" windowHeight="13900" firstSheet="4" activeTab="4" xr2:uid="{64AB377B-283D-4868-85DF-823905042325}"/>
  </bookViews>
  <sheets>
    <sheet name="Ejercicio 3" sheetId="2" state="hidden" r:id="rId1"/>
    <sheet name="Ejercicio 2" sheetId="1" state="hidden" r:id="rId2"/>
    <sheet name="pendiente" sheetId="4" state="hidden" r:id="rId3"/>
    <sheet name="Ejercicio 8" sheetId="5" state="hidden" r:id="rId4"/>
    <sheet name="Tarea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4" l="1"/>
  <c r="C5" i="4"/>
  <c r="C6" i="4"/>
  <c r="C7" i="4"/>
  <c r="C8" i="4"/>
  <c r="C9" i="4"/>
  <c r="C10" i="4"/>
  <c r="C11" i="4"/>
  <c r="C12" i="4"/>
  <c r="C13" i="4"/>
  <c r="C3" i="4"/>
  <c r="C18" i="6" a="1"/>
  <c r="C11" i="6" a="1"/>
  <c r="C35" i="1" a="1"/>
  <c r="C32" i="1" a="1"/>
  <c r="B19" i="1" a="1"/>
  <c r="C17" i="6" a="1"/>
  <c r="C13" i="5" a="1"/>
  <c r="C9" i="6" a="1"/>
  <c r="C25" i="1" a="1"/>
  <c r="B54" i="6" a="1"/>
  <c r="B47" i="6" a="1"/>
  <c r="C15" i="1" a="1"/>
  <c r="C8" i="5" a="1"/>
  <c r="C9" i="5" a="1"/>
  <c r="C5" i="5" a="1"/>
  <c r="C46" i="1" a="1"/>
  <c r="B34" i="6" a="1"/>
  <c r="C10" i="1" a="1"/>
  <c r="C7" i="5" a="1"/>
  <c r="C16" i="6" a="1"/>
  <c r="C10" i="6" a="1"/>
  <c r="C8" i="6" a="1"/>
  <c r="C6" i="5" a="1"/>
  <c r="C13" i="6" a="1"/>
  <c r="C12" i="5" a="1"/>
  <c r="C14" i="5" a="1"/>
  <c r="C28" i="1" a="1"/>
  <c r="C14" i="6" a="1"/>
  <c r="C11" i="5" a="1"/>
  <c r="C15" i="6" a="1"/>
  <c r="C10" i="5" a="1"/>
  <c r="C12" i="6" a="1"/>
  <c r="C16" i="2" a="1"/>
  <c r="B54" i="6" l="1"/>
  <c r="B47" i="6"/>
  <c r="B34" i="6"/>
  <c r="C8" i="6"/>
  <c r="C9" i="6"/>
  <c r="C12" i="6"/>
  <c r="C11" i="6"/>
  <c r="C10" i="6"/>
  <c r="C18" i="6"/>
  <c r="C17" i="6"/>
  <c r="C16" i="6"/>
  <c r="C15" i="6"/>
  <c r="C14" i="6"/>
  <c r="C13" i="6"/>
  <c r="C14" i="5"/>
  <c r="C13" i="5"/>
  <c r="C12" i="5"/>
  <c r="C11" i="5"/>
  <c r="C10" i="5"/>
  <c r="C9" i="5"/>
  <c r="C8" i="5"/>
  <c r="C7" i="5"/>
  <c r="C6" i="5"/>
  <c r="C5" i="5"/>
  <c r="C16" i="2"/>
  <c r="C46" i="1"/>
  <c r="C32" i="1"/>
  <c r="C35" i="1"/>
  <c r="C28" i="1"/>
  <c r="C25" i="1"/>
  <c r="G26" i="1" s="1"/>
  <c r="B19" i="1"/>
  <c r="C15" i="1"/>
  <c r="C10" i="1"/>
  <c r="G3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<sst xmlns="http://schemas.openxmlformats.org/spreadsheetml/2006/main" count="78" uniqueCount="53">
  <si>
    <t>Se coloca una olla con agua en una parrilla encendida de modo que la temperaatura T del agua aumenta uniformemente a razon de 6 grados por minutos. A) en un lapso de 3 minutos cuanto aumenta la temperatura ?</t>
  </si>
  <si>
    <t xml:space="preserve"> A) en un lapso de 3 minutos cuanto aumenta la temperatura ?</t>
  </si>
  <si>
    <t>minutos</t>
  </si>
  <si>
    <t>grados</t>
  </si>
  <si>
    <t>temp inicial</t>
  </si>
  <si>
    <t>temp final</t>
  </si>
  <si>
    <t>Temperatura a los 5 minutos cuando a los 2 minutos era de 50 grados</t>
  </si>
  <si>
    <t>Temperatura al inicio cuando se coloco la olla en la parilla</t>
  </si>
  <si>
    <t xml:space="preserve">Cambio de la temperatura entre 5 y 6,5 minutos es de </t>
  </si>
  <si>
    <t xml:space="preserve">Cambio de la temperatura entre 8 y 9,5 minutos es de </t>
  </si>
  <si>
    <t>Temp inicial</t>
  </si>
  <si>
    <t>Temp final</t>
  </si>
  <si>
    <t>Tiempo transcurrido(min)</t>
  </si>
  <si>
    <t>El agua empieza a hervir a los 16,66 minutos</t>
  </si>
  <si>
    <t>B) Si a los 2 minutos la temperatura en el agua era de 50 grados, cual sera la temperatura a los cinco minutos y cual fue la temperatura al inicio cuando se coloco la olla en la parrilla</t>
  </si>
  <si>
    <t>C ) Cual es el cambio en la temperatura ocurrido entre los 5 y los 6,5 minutos ?  Y entre los 8 y 9,5 minutos</t>
  </si>
  <si>
    <t>D ) Construye una expresion matematica a traves de la cual se pueda predecir la temperatura del agua, T ( en grados centigrados ) cuando trasncurre un t minutos</t>
  </si>
  <si>
    <t>E ) En que instante comienza a hervir el agua ?  Suponer que el grado de ebullicion es de 100 grados centigrados</t>
  </si>
  <si>
    <t>La temperatura de la atmosfera en la primera de sus capas( la troposfera) disminuye uniformemente con respecto a la altitud; lo hace a razon de -6,5 grados centigrados / kilometro.  Cierto montañista llega a la cumbre de una montaña de altura desconocida y le reporta por radio a su compañero( que esta en la base de la montaña) que la temperatura alla arriba es de -1 grado centigrado,  por su parte su compañero, en la parte mas baja de la montaña observa que el termometro marca 20 grados centigrados</t>
  </si>
  <si>
    <t>a) Construye una expresion matematica que permita predecir la temperatura T para diferentes valores de altitud  h ?    Cual es la altura de la montaña</t>
  </si>
  <si>
    <t>altitud(km)</t>
  </si>
  <si>
    <t>y</t>
  </si>
  <si>
    <t>x</t>
  </si>
  <si>
    <t>Si una pieda se lanza hacia arriba con una velocidad de 30 metros por segundo</t>
  </si>
  <si>
    <t>Tiempo</t>
  </si>
  <si>
    <t>Velocidad inicial</t>
  </si>
  <si>
    <t>posicion</t>
  </si>
  <si>
    <t>a y b) cual es la posicion de la poieda en cada segundo de tiempo trasncurrido</t>
  </si>
  <si>
    <t>c ) realice la grafica de la trayectoria del movimiento de la piedra</t>
  </si>
  <si>
    <t xml:space="preserve">d) altura maxima que alcanza la piedra </t>
  </si>
  <si>
    <t>45 metros</t>
  </si>
  <si>
    <t>e) que expresión matematica puede calcular la altura maxima de la piedra</t>
  </si>
  <si>
    <t>f) en que punto se encuentra el vertice de la parabola ?</t>
  </si>
  <si>
    <t>Se encuentra en el punto cuya altura es maxima o sea 45 metros y el tiempo es igual a 3 segundos</t>
  </si>
  <si>
    <t>Una bala se dispara hacia arriba de un edificio que tiene 28 pisos (Aproximadamente 100 metros de alto), arranca con una velocidad de 32m/s y sigue una trayectoria que esta dada por la expresión h(t)=-16t^2+32t+100  h(t) representa la altura de la bala(en metros) despues de t segundos</t>
  </si>
  <si>
    <t>a) Realice la grafica desde -5 a 5 en X, y desde -20 hasta 120 en Y</t>
  </si>
  <si>
    <t>X</t>
  </si>
  <si>
    <t>Y</t>
  </si>
  <si>
    <t>H(x)</t>
  </si>
  <si>
    <t>b) que porcion de la grafica representa el recorrido de la tabla ?</t>
  </si>
  <si>
    <t>Aproximadamente el 50% de la porcion de la gráfica</t>
  </si>
  <si>
    <t>c)  para que valores de x de la grafica tiene sentido la situación ?</t>
  </si>
  <si>
    <t>Para los valores de x que sean iguales o mayores que cero,  ya que X representa el tiempo y no puede ser negativo</t>
  </si>
  <si>
    <t>tiempo</t>
  </si>
  <si>
    <t>Altura</t>
  </si>
  <si>
    <t>La bala alcanza la altura de 12 metros con respecto a los 100 metros que ya tiene el edificio, por eso el cálculo da 112 metros</t>
  </si>
  <si>
    <t>d) que altura alcanza la bala luego de medio segundo de lanzamiento ?</t>
  </si>
  <si>
    <t>e) en que momento vuelve la bala a alcanzar la altura del edificio?</t>
  </si>
  <si>
    <t>Según la grafica, es despues de los 2 segundos</t>
  </si>
  <si>
    <t>f) en que momento la bala alcanza la altura maxima ?  Cual es esa altura ?</t>
  </si>
  <si>
    <t>La bala alcanza la altura maxima cuando el tiempo es igual a 1 segundo y su altura es de 16 metros más los 100 metros del edificio</t>
  </si>
  <si>
    <t>g) en que parte de la gráficca se ve que la altura toca el piso?  En que momento ocurre esto ?</t>
  </si>
  <si>
    <t>Aunque la grafica no tiene la resolucion suficiente para saber el instante cuando la bala toca el piso, mas o menos se puede ver que es a los 3,7 segundos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</si>
</sst>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Trayectoria de la piedra</a:t>
            </a:r>
          </a:p>
        </c:rich>
      </c:tx>
      <c:layout>
        <c:manualLayout>
          <c:xMode val="edge"/>
          <c:yMode val="edge"/>
          <c:x val="0.33235411198600173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'Ejercicio 8'!$C$5:$C$14</c:f>
              <c:numCache>
                <c:formatCode>General</c:formatCode>
                <c:ptCount val="10"/>
                <c:pt idx="0">
                  <c:v>25</c:v>
                </c:pt>
                <c:pt idx="1">
                  <c:v>40</c:v>
                </c:pt>
                <c:pt idx="2">
                  <c:v>45</c:v>
                </c:pt>
                <c:pt idx="3">
                  <c:v>40</c:v>
                </c:pt>
                <c:pt idx="4">
                  <c:v>25</c:v>
                </c:pt>
                <c:pt idx="5">
                  <c:v>0</c:v>
                </c:pt>
                <c:pt idx="6">
                  <c:v>-35</c:v>
                </c:pt>
                <c:pt idx="7">
                  <c:v>-80</c:v>
                </c:pt>
                <c:pt idx="8">
                  <c:v>-135</c:v>
                </c:pt>
                <c:pt idx="9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A8-4376-A8E8-DB75E416F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1992079"/>
        <c:axId val="382007887"/>
      </c:lineChart>
      <c:catAx>
        <c:axId val="3819920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2007887"/>
        <c:crosses val="autoZero"/>
        <c:auto val="1"/>
        <c:lblAlgn val="ctr"/>
        <c:lblOffset val="100"/>
        <c:noMultiLvlLbl val="0"/>
      </c:catAx>
      <c:valAx>
        <c:axId val="38200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1992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  <a:r>
              <a:rPr lang="en-US" baseline="0"/>
              <a:t> de la función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Recorrido de la bala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Tarea!$A$8:$A$18</c:f>
              <c:numCache>
                <c:formatCode>General</c:formatCode>
                <c:ptCount val="1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</c:numCache>
            </c:numRef>
          </c:xVal>
          <c:yVal>
            <c:numRef>
              <c:f>Tarea!$C$8:$C$18</c:f>
              <c:numCache>
                <c:formatCode>General</c:formatCode>
                <c:ptCount val="11"/>
                <c:pt idx="0">
                  <c:v>-460</c:v>
                </c:pt>
                <c:pt idx="1">
                  <c:v>-284</c:v>
                </c:pt>
                <c:pt idx="2">
                  <c:v>-140</c:v>
                </c:pt>
                <c:pt idx="3">
                  <c:v>-28</c:v>
                </c:pt>
                <c:pt idx="4">
                  <c:v>52</c:v>
                </c:pt>
                <c:pt idx="5">
                  <c:v>100</c:v>
                </c:pt>
                <c:pt idx="6">
                  <c:v>116</c:v>
                </c:pt>
                <c:pt idx="7">
                  <c:v>100</c:v>
                </c:pt>
                <c:pt idx="8">
                  <c:v>52</c:v>
                </c:pt>
                <c:pt idx="9">
                  <c:v>-28</c:v>
                </c:pt>
                <c:pt idx="10">
                  <c:v>-140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D9-445C-A676-AE4B4B2C4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549056"/>
        <c:axId val="794550304"/>
      </c:scatterChart>
      <c:valAx>
        <c:axId val="794549056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Tiempo(s)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4550304"/>
        <c:crosses val="autoZero"/>
        <c:crossBetween val="midCat"/>
      </c:valAx>
      <c:valAx>
        <c:axId val="794550304"/>
        <c:scaling>
          <c:orientation val="minMax"/>
          <c:max val="1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Altura(metros)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4549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749300</xdr:colOff>
      <xdr:row>10</xdr:row>
      <xdr:rowOff>152400</xdr:rowOff>
    </xdr:from>
    <xdr:ext cx="4224362" cy="317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ABB514CE-9CB7-4474-8EF7-76D5AD10EB88}"/>
                </a:ext>
              </a:extLst>
            </xdr:cNvPr>
            <xdr:cNvSpPr txBox="1"/>
          </xdr:nvSpPr>
          <xdr:spPr>
            <a:xfrm>
              <a:off x="749300" y="1993900"/>
              <a:ext cx="4224362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𝑇𝑒𝑚𝑝𝑒𝑟𝑎𝑡𝑢𝑟𝑎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6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,5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°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</m:t>
                        </m:r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𝑘𝑚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 ∗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𝑎𝑙𝑡𝑖𝑡𝑢𝑑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</m:t>
                    </m:r>
                    <m:func>
                      <m:func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ES" sz="1100" b="0" i="0">
                            <a:latin typeface="Cambria Math" panose="02040503050406030204" pitchFamily="18" charset="0"/>
                          </a:rPr>
                          <m:t>km</m:t>
                        </m:r>
                      </m:fName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)+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𝑡𝑒𝑚𝑝𝑒𝑟𝑎𝑡𝑢𝑟𝑎𝐼𝑛𝑖𝑐𝑖𝑎𝑙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°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ABB514CE-9CB7-4474-8EF7-76D5AD10EB88}"/>
                </a:ext>
              </a:extLst>
            </xdr:cNvPr>
            <xdr:cNvSpPr txBox="1"/>
          </xdr:nvSpPr>
          <xdr:spPr>
            <a:xfrm>
              <a:off x="749300" y="1993900"/>
              <a:ext cx="4224362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𝑇𝑒𝑚𝑝𝑒𝑟𝑎𝑡𝑢𝑟𝑎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</a:rPr>
                <a:t>−</a:t>
              </a:r>
              <a:r>
                <a:rPr lang="en-US" sz="1100" b="0" i="0">
                  <a:latin typeface="Cambria Math" panose="02040503050406030204" pitchFamily="18" charset="0"/>
                </a:rPr>
                <a:t>6</a:t>
              </a:r>
              <a:r>
                <a:rPr lang="es-ES" sz="1100" b="0" i="0">
                  <a:latin typeface="Cambria Math" panose="02040503050406030204" pitchFamily="18" charset="0"/>
                </a:rPr>
                <a:t>,5</a:t>
              </a:r>
              <a:r>
                <a:rPr lang="en-US" sz="1100" b="0" i="0">
                  <a:latin typeface="Cambria Math" panose="02040503050406030204" pitchFamily="18" charset="0"/>
                </a:rPr>
                <a:t>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(°𝐶)/</a:t>
              </a:r>
              <a:r>
                <a:rPr lang="es-ES" sz="1100" b="0" i="0">
                  <a:latin typeface="Cambria Math" panose="02040503050406030204" pitchFamily="18" charset="0"/>
                </a:rPr>
                <a:t>𝑘𝑚</a:t>
              </a:r>
              <a:r>
                <a:rPr lang="en-US" sz="1100" b="0" i="0">
                  <a:latin typeface="Cambria Math" panose="02040503050406030204" pitchFamily="18" charset="0"/>
                </a:rPr>
                <a:t>  ∗</a:t>
              </a:r>
              <a:r>
                <a:rPr lang="es-ES" sz="1100" b="0" i="0">
                  <a:latin typeface="Cambria Math" panose="02040503050406030204" pitchFamily="18" charset="0"/>
                </a:rPr>
                <a:t>𝑎𝑙𝑡𝑖𝑡𝑢𝑑</a:t>
              </a:r>
              <a:r>
                <a:rPr lang="en-US" sz="1100" b="0" i="0">
                  <a:latin typeface="Cambria Math" panose="02040503050406030204" pitchFamily="18" charset="0"/>
                </a:rPr>
                <a:t> (</a:t>
              </a:r>
              <a:r>
                <a:rPr lang="es-ES" sz="1100" b="0" i="0">
                  <a:latin typeface="Cambria Math" panose="02040503050406030204" pitchFamily="18" charset="0"/>
                </a:rPr>
                <a:t>km</a:t>
              </a:r>
              <a:r>
                <a:rPr lang="en-US" sz="1100" b="0" i="0">
                  <a:latin typeface="Cambria Math" panose="02040503050406030204" pitchFamily="18" charset="0"/>
                </a:rPr>
                <a:t>⁡〖)+</a:t>
              </a:r>
              <a:r>
                <a:rPr lang="es-ES" sz="1100" b="0" i="0">
                  <a:latin typeface="Cambria Math" panose="02040503050406030204" pitchFamily="18" charset="0"/>
                </a:rPr>
                <a:t>𝑡𝑒𝑚𝑝𝑒𝑟𝑎𝑡𝑢𝑟𝑎𝐼𝑛𝑖𝑐𝑖𝑎𝑙</a:t>
              </a:r>
              <a:r>
                <a:rPr lang="en-US" sz="1100" b="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°𝐶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lang="es-CO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638175</xdr:colOff>
      <xdr:row>38</xdr:row>
      <xdr:rowOff>174625</xdr:rowOff>
    </xdr:from>
    <xdr:ext cx="4052391" cy="317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E437D501-7F76-4BBF-92DA-BB3E9F13E059}"/>
                </a:ext>
              </a:extLst>
            </xdr:cNvPr>
            <xdr:cNvSpPr txBox="1"/>
          </xdr:nvSpPr>
          <xdr:spPr>
            <a:xfrm>
              <a:off x="638175" y="7172325"/>
              <a:ext cx="4052391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𝑇𝑒𝑚𝑝𝑒𝑟𝑎𝑡𝑢𝑟𝑎𝐹𝑖𝑛𝑎𝑙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=6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°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𝐶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𝑚𝑖𝑛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 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</m:t>
                    </m:r>
                    <m:func>
                      <m:func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min</m:t>
                        </m:r>
                      </m:fName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𝑡𝑒𝑚𝑝𝑒𝑟𝑎𝑡𝑢𝑟𝑎𝐼𝑛𝑖𝑐𝑖𝑎𝑙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(°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E437D501-7F76-4BBF-92DA-BB3E9F13E059}"/>
                </a:ext>
              </a:extLst>
            </xdr:cNvPr>
            <xdr:cNvSpPr txBox="1"/>
          </xdr:nvSpPr>
          <xdr:spPr>
            <a:xfrm>
              <a:off x="638175" y="7172325"/>
              <a:ext cx="4052391" cy="317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𝑇𝑒𝑚𝑝𝑒𝑟𝑎𝑡𝑢𝑟𝑎𝐹𝑖𝑛𝑎𝑙=6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(°𝐶)/</a:t>
              </a:r>
              <a:r>
                <a:rPr lang="en-US" sz="1100" b="0" i="0">
                  <a:latin typeface="Cambria Math" panose="02040503050406030204" pitchFamily="18" charset="0"/>
                </a:rPr>
                <a:t>𝑚𝑖𝑛  ∗𝑡 (min⁡〖)+𝑡𝑒𝑚𝑝𝑒𝑟𝑎𝑡𝑢𝑟𝑎𝐼𝑛𝑖𝑐𝑖𝑎𝑙(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°𝐶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lang="es-CO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755651</xdr:colOff>
      <xdr:row>1</xdr:row>
      <xdr:rowOff>0</xdr:rowOff>
    </xdr:from>
    <xdr:to>
      <xdr:col>11</xdr:col>
      <xdr:colOff>463551</xdr:colOff>
      <xdr:row>27</xdr:row>
      <xdr:rowOff>40325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9F7B6DD-A42C-420C-A901-B2E002F23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1651" y="184150"/>
          <a:ext cx="5803900" cy="48282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111125</xdr:colOff>
      <xdr:row>16</xdr:row>
      <xdr:rowOff>168275</xdr:rowOff>
    </xdr:from>
    <xdr:to>
      <xdr:col>5</xdr:col>
      <xdr:colOff>663575</xdr:colOff>
      <xdr:row>31</xdr:row>
      <xdr:rowOff>149225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968575-91C0-4899-9F7D-9C73923DE8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222250</xdr:colOff>
      <xdr:row>38</xdr:row>
      <xdr:rowOff>146050</xdr:rowOff>
    </xdr:from>
    <xdr:ext cx="3207288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9B56DC84-310A-41B8-A87B-93E49DCBB352}"/>
                </a:ext>
              </a:extLst>
            </xdr:cNvPr>
            <xdr:cNvSpPr txBox="1"/>
          </xdr:nvSpPr>
          <xdr:spPr>
            <a:xfrm>
              <a:off x="222250" y="7327900"/>
              <a:ext cx="320728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𝐷𝑖𝑠𝑡𝑎𝑛𝑐𝑖𝑎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𝑚𝑎𝑥𝑖𝑚𝑎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𝑉𝑖𝑛𝑖𝑐𝑖𝑎𝑙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𝑡𝑚𝑎𝑥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−5 ∗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𝑡𝑚𝑎𝑥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9B56DC84-310A-41B8-A87B-93E49DCBB352}"/>
                </a:ext>
              </a:extLst>
            </xdr:cNvPr>
            <xdr:cNvSpPr txBox="1"/>
          </xdr:nvSpPr>
          <xdr:spPr>
            <a:xfrm>
              <a:off x="222250" y="7327900"/>
              <a:ext cx="320728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𝐷𝑖𝑠𝑡𝑎𝑛𝑐𝑖𝑎 𝑚𝑎𝑥𝑖𝑚𝑎 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</a:rPr>
                <a:t>𝑉𝑖𝑛𝑖𝑐𝑖𝑎𝑙</a:t>
              </a:r>
              <a:r>
                <a:rPr lang="en-US" sz="1100" b="0" i="0">
                  <a:latin typeface="Cambria Math" panose="02040503050406030204" pitchFamily="18" charset="0"/>
                </a:rPr>
                <a:t>∗</a:t>
              </a:r>
              <a:r>
                <a:rPr lang="es-ES" sz="1100" b="0" i="0">
                  <a:latin typeface="Cambria Math" panose="02040503050406030204" pitchFamily="18" charset="0"/>
                </a:rPr>
                <a:t>𝑡𝑚𝑎𝑥 −5 ∗〖𝑡𝑚𝑎𝑥〗^2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0</xdr:col>
      <xdr:colOff>209550</xdr:colOff>
      <xdr:row>40</xdr:row>
      <xdr:rowOff>165100</xdr:rowOff>
    </xdr:from>
    <xdr:ext cx="2356671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78346202-180B-4735-A02D-686115A8ED81}"/>
                </a:ext>
              </a:extLst>
            </xdr:cNvPr>
            <xdr:cNvSpPr txBox="1"/>
          </xdr:nvSpPr>
          <xdr:spPr>
            <a:xfrm>
              <a:off x="209550" y="7715250"/>
              <a:ext cx="235667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𝐷𝑖𝑠𝑡𝑎𝑛𝑐𝑖𝑎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𝑚𝑎𝑥𝑖𝑚𝑎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=30∗3 −5 ∗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3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78346202-180B-4735-A02D-686115A8ED81}"/>
                </a:ext>
              </a:extLst>
            </xdr:cNvPr>
            <xdr:cNvSpPr txBox="1"/>
          </xdr:nvSpPr>
          <xdr:spPr>
            <a:xfrm>
              <a:off x="209550" y="7715250"/>
              <a:ext cx="235667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𝐷𝑖𝑠𝑡𝑎𝑛𝑐𝑖𝑎 𝑚𝑎𝑥𝑖𝑚𝑎 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</a:rPr>
                <a:t>30</a:t>
              </a:r>
              <a:r>
                <a:rPr lang="en-US" sz="1100" b="0" i="0">
                  <a:latin typeface="Cambria Math" panose="02040503050406030204" pitchFamily="18" charset="0"/>
                </a:rPr>
                <a:t>∗</a:t>
              </a:r>
              <a:r>
                <a:rPr lang="es-ES" sz="1100" b="0" i="0">
                  <a:latin typeface="Cambria Math" panose="02040503050406030204" pitchFamily="18" charset="0"/>
                </a:rPr>
                <a:t>3 −5 ∗3^2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4</xdr:col>
      <xdr:colOff>0</xdr:colOff>
      <xdr:row>41</xdr:row>
      <xdr:rowOff>0</xdr:rowOff>
    </xdr:from>
    <xdr:ext cx="156517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C879B6B-6624-47F2-8B18-80EE7B027D2D}"/>
                </a:ext>
              </a:extLst>
            </xdr:cNvPr>
            <xdr:cNvSpPr txBox="1"/>
          </xdr:nvSpPr>
          <xdr:spPr>
            <a:xfrm>
              <a:off x="3257550" y="7734300"/>
              <a:ext cx="156517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𝐷𝑖𝑠𝑡𝑎𝑛𝑐𝑖𝑎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𝑚𝑎𝑥𝑖𝑚𝑎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=45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C879B6B-6624-47F2-8B18-80EE7B027D2D}"/>
                </a:ext>
              </a:extLst>
            </xdr:cNvPr>
            <xdr:cNvSpPr txBox="1"/>
          </xdr:nvSpPr>
          <xdr:spPr>
            <a:xfrm>
              <a:off x="3257550" y="7734300"/>
              <a:ext cx="156517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𝐷𝑖𝑠𝑡𝑎𝑛𝑐𝑖𝑎 𝑚𝑎𝑥𝑖𝑚𝑎 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r>
                <a:rPr lang="es-ES" sz="1100" b="0" i="0">
                  <a:latin typeface="Cambria Math" panose="02040503050406030204" pitchFamily="18" charset="0"/>
                </a:rPr>
                <a:t>45</a:t>
              </a:r>
              <a:endParaRPr lang="es-CO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714374</xdr:colOff>
      <xdr:row>4</xdr:row>
      <xdr:rowOff>34925</xdr:rowOff>
    </xdr:from>
    <xdr:to>
      <xdr:col>15</xdr:col>
      <xdr:colOff>527050</xdr:colOff>
      <xdr:row>19</xdr:row>
      <xdr:rowOff>15875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35F0A8A-D4C3-4E27-9728-53122AD7BD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D40CC-2620-4A6E-84B3-E1C1D7D75270}">
  <sheetPr codeName="Hoja2"/>
  <dimension ref="A1:R16"/>
  <sheetViews>
    <sheetView workbookViewId="0">
      <selection activeCell="I21" sqref="I21"/>
    </sheetView>
  </sheetViews>
  <sheetFormatPr baseColWidth="10" defaultRowHeight="14.5" x14ac:dyDescent="0.35"/>
  <sheetData>
    <row r="1" spans="1:18" x14ac:dyDescent="0.35">
      <c r="A1" s="11" t="s">
        <v>18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</row>
    <row r="2" spans="1:18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18" x14ac:dyDescent="0.3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4" spans="1:18" x14ac:dyDescent="0.3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18" x14ac:dyDescent="0.3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9" spans="1:18" x14ac:dyDescent="0.35">
      <c r="A9" s="12" t="s">
        <v>19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5" spans="1:18" x14ac:dyDescent="0.35">
      <c r="A15" s="2" t="s">
        <v>10</v>
      </c>
      <c r="B15" s="2" t="s">
        <v>5</v>
      </c>
      <c r="C15" s="2" t="s">
        <v>20</v>
      </c>
    </row>
    <row r="16" spans="1:18" x14ac:dyDescent="0.35">
      <c r="A16" s="2">
        <v>20</v>
      </c>
      <c r="B16" s="2">
        <v>-1</v>
      </c>
      <c r="C16" s="2" cm="1">
        <f t="array" ref="C16">calcularAltitud(B16,A16)</f>
        <v>3.2307692307692308</v>
      </c>
    </row>
  </sheetData>
  <mergeCells count="2">
    <mergeCell ref="A1:R5"/>
    <mergeCell ref="A9:R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ED105-E037-443F-B9DA-6F32EEFA02A5}">
  <sheetPr codeName="Hoja1"/>
  <dimension ref="A1:O46"/>
  <sheetViews>
    <sheetView topLeftCell="A22" workbookViewId="0">
      <selection activeCell="I21" sqref="I21"/>
    </sheetView>
  </sheetViews>
  <sheetFormatPr baseColWidth="10" defaultRowHeight="14.5" x14ac:dyDescent="0.35"/>
  <cols>
    <col min="3" max="3" width="11.81640625" bestFit="1" customWidth="1"/>
  </cols>
  <sheetData>
    <row r="1" spans="1:15" x14ac:dyDescent="0.35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3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3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7" spans="1:15" x14ac:dyDescent="0.35">
      <c r="A7" s="14" t="s">
        <v>1</v>
      </c>
      <c r="B7" s="14"/>
      <c r="C7" s="14"/>
      <c r="D7" s="14"/>
      <c r="E7" s="14"/>
      <c r="F7" s="14"/>
      <c r="G7" s="14"/>
      <c r="H7" s="14"/>
      <c r="I7" s="14"/>
      <c r="J7" s="14"/>
    </row>
    <row r="9" spans="1:15" x14ac:dyDescent="0.35">
      <c r="A9" s="7" t="s">
        <v>2</v>
      </c>
      <c r="B9" s="7" t="s">
        <v>4</v>
      </c>
      <c r="C9" s="8" t="s">
        <v>5</v>
      </c>
    </row>
    <row r="10" spans="1:15" x14ac:dyDescent="0.35">
      <c r="A10" s="2">
        <v>3</v>
      </c>
      <c r="B10" s="2">
        <v>0</v>
      </c>
      <c r="C10" s="4" cm="1">
        <f t="array" ref="C10">FuncionOne(A10,B10)</f>
        <v>18</v>
      </c>
    </row>
    <row r="12" spans="1:15" x14ac:dyDescent="0.35">
      <c r="A12" s="14" t="s">
        <v>14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</row>
    <row r="14" spans="1:15" x14ac:dyDescent="0.35">
      <c r="A14" s="7" t="s">
        <v>2</v>
      </c>
      <c r="B14" s="7" t="s">
        <v>4</v>
      </c>
      <c r="C14" s="8" t="s">
        <v>5</v>
      </c>
      <c r="E14" s="15" t="s">
        <v>6</v>
      </c>
      <c r="F14" s="15"/>
      <c r="G14" s="15"/>
      <c r="H14" s="15"/>
      <c r="I14" s="15"/>
    </row>
    <row r="15" spans="1:15" x14ac:dyDescent="0.35">
      <c r="A15" s="2">
        <v>3</v>
      </c>
      <c r="B15" s="2">
        <v>50</v>
      </c>
      <c r="C15" s="4" cm="1">
        <f t="array" ref="C15">FuncionOne(A15,B15)</f>
        <v>68</v>
      </c>
      <c r="E15" s="15"/>
      <c r="F15" s="15"/>
      <c r="G15" s="15"/>
      <c r="H15" s="15"/>
      <c r="I15" s="15"/>
    </row>
    <row r="18" spans="1:14" x14ac:dyDescent="0.35">
      <c r="A18" s="7" t="s">
        <v>2</v>
      </c>
      <c r="B18" s="7" t="s">
        <v>4</v>
      </c>
      <c r="C18" s="8" t="s">
        <v>5</v>
      </c>
      <c r="E18" s="15" t="s">
        <v>7</v>
      </c>
      <c r="F18" s="15"/>
      <c r="G18" s="15"/>
      <c r="H18" s="15"/>
      <c r="I18" s="15"/>
    </row>
    <row r="19" spans="1:14" x14ac:dyDescent="0.35">
      <c r="A19" s="2">
        <v>2</v>
      </c>
      <c r="B19" s="2" cm="1">
        <f t="array" ref="B19">calcularTemperaturaInicial(C19,A19)</f>
        <v>38</v>
      </c>
      <c r="C19" s="4">
        <v>50</v>
      </c>
      <c r="E19" s="15"/>
      <c r="F19" s="15"/>
      <c r="G19" s="15"/>
      <c r="H19" s="15"/>
      <c r="I19" s="15"/>
    </row>
    <row r="22" spans="1:14" x14ac:dyDescent="0.35">
      <c r="A22" s="14" t="s">
        <v>15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</row>
    <row r="24" spans="1:14" x14ac:dyDescent="0.35">
      <c r="A24" s="7" t="s">
        <v>2</v>
      </c>
      <c r="B24" s="7" t="s">
        <v>4</v>
      </c>
      <c r="C24" s="8" t="s">
        <v>5</v>
      </c>
      <c r="E24" s="16" t="s">
        <v>8</v>
      </c>
      <c r="F24" s="16"/>
      <c r="G24" s="16"/>
      <c r="H24" s="16"/>
      <c r="I24" s="16"/>
    </row>
    <row r="25" spans="1:14" x14ac:dyDescent="0.35">
      <c r="A25" s="2">
        <v>5</v>
      </c>
      <c r="B25" s="2">
        <v>38</v>
      </c>
      <c r="C25" s="4" cm="1">
        <f t="array" ref="C25">FuncionOne(A25,B25)</f>
        <v>68</v>
      </c>
    </row>
    <row r="26" spans="1:14" x14ac:dyDescent="0.35">
      <c r="G26" s="5">
        <f>(C28-C25)</f>
        <v>9</v>
      </c>
      <c r="H26" s="1" t="s">
        <v>3</v>
      </c>
    </row>
    <row r="27" spans="1:14" x14ac:dyDescent="0.35">
      <c r="A27" s="7" t="s">
        <v>2</v>
      </c>
      <c r="B27" s="7" t="s">
        <v>4</v>
      </c>
      <c r="C27" s="8" t="s">
        <v>5</v>
      </c>
    </row>
    <row r="28" spans="1:14" x14ac:dyDescent="0.35">
      <c r="A28" s="2">
        <v>6.5</v>
      </c>
      <c r="B28" s="2">
        <v>38</v>
      </c>
      <c r="C28" s="4" cm="1">
        <f t="array" ref="C28">FuncionOne(A28,B28)</f>
        <v>77</v>
      </c>
    </row>
    <row r="31" spans="1:14" x14ac:dyDescent="0.35">
      <c r="A31" s="7" t="s">
        <v>2</v>
      </c>
      <c r="B31" s="7" t="s">
        <v>4</v>
      </c>
      <c r="C31" s="8" t="s">
        <v>5</v>
      </c>
      <c r="E31" s="17" t="s">
        <v>9</v>
      </c>
      <c r="F31" s="17"/>
      <c r="G31" s="17"/>
      <c r="H31" s="17"/>
      <c r="I31" s="17"/>
    </row>
    <row r="32" spans="1:14" x14ac:dyDescent="0.35">
      <c r="A32" s="2">
        <v>8</v>
      </c>
      <c r="B32" s="2">
        <v>38</v>
      </c>
      <c r="C32" s="4" cm="1">
        <f t="array" ref="C32">FuncionOne(A32,B32)</f>
        <v>86</v>
      </c>
    </row>
    <row r="33" spans="1:13" x14ac:dyDescent="0.35">
      <c r="G33" s="5">
        <f>(C35-C32)</f>
        <v>9</v>
      </c>
      <c r="H33" s="1" t="s">
        <v>3</v>
      </c>
    </row>
    <row r="34" spans="1:13" x14ac:dyDescent="0.35">
      <c r="A34" s="7" t="s">
        <v>2</v>
      </c>
      <c r="B34" s="7" t="s">
        <v>4</v>
      </c>
      <c r="C34" s="8" t="s">
        <v>5</v>
      </c>
    </row>
    <row r="35" spans="1:13" x14ac:dyDescent="0.35">
      <c r="A35" s="2">
        <v>9.5</v>
      </c>
      <c r="B35" s="2">
        <v>38</v>
      </c>
      <c r="C35" s="4" cm="1">
        <f t="array" ref="C35">FuncionOne(A35,B35)</f>
        <v>95</v>
      </c>
    </row>
    <row r="38" spans="1:13" x14ac:dyDescent="0.35">
      <c r="A38" s="14" t="s">
        <v>16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</row>
    <row r="43" spans="1:13" x14ac:dyDescent="0.35">
      <c r="A43" s="14" t="s">
        <v>17</v>
      </c>
      <c r="B43" s="14"/>
      <c r="C43" s="14"/>
      <c r="D43" s="14"/>
      <c r="E43" s="14"/>
      <c r="F43" s="14"/>
      <c r="G43" s="14"/>
      <c r="H43" s="14"/>
      <c r="I43" s="14"/>
    </row>
    <row r="45" spans="1:13" ht="43.5" x14ac:dyDescent="0.35">
      <c r="A45" s="9" t="s">
        <v>10</v>
      </c>
      <c r="B45" s="9" t="s">
        <v>11</v>
      </c>
      <c r="C45" s="9" t="s">
        <v>12</v>
      </c>
    </row>
    <row r="46" spans="1:13" x14ac:dyDescent="0.35">
      <c r="A46" s="3">
        <v>38</v>
      </c>
      <c r="B46" s="3">
        <v>100</v>
      </c>
      <c r="C46" s="3" cm="1">
        <f t="array" ref="C46">calcularTiempo(B46,A46)</f>
        <v>10.333333333333334</v>
      </c>
      <c r="F46" s="17" t="s">
        <v>13</v>
      </c>
      <c r="G46" s="17"/>
      <c r="H46" s="17"/>
      <c r="I46" s="17"/>
      <c r="J46" s="17"/>
    </row>
  </sheetData>
  <mergeCells count="11">
    <mergeCell ref="A22:N22"/>
    <mergeCell ref="E24:I24"/>
    <mergeCell ref="E31:I31"/>
    <mergeCell ref="F46:J46"/>
    <mergeCell ref="A38:M38"/>
    <mergeCell ref="A43:I43"/>
    <mergeCell ref="A1:O4"/>
    <mergeCell ref="A7:J7"/>
    <mergeCell ref="A12:O12"/>
    <mergeCell ref="E14:I15"/>
    <mergeCell ref="E18:I19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2113C-BD51-4194-9F93-122E0E998373}">
  <sheetPr codeName="Hoja4"/>
  <dimension ref="B2:C13"/>
  <sheetViews>
    <sheetView workbookViewId="0">
      <selection activeCell="I21" sqref="I21"/>
    </sheetView>
  </sheetViews>
  <sheetFormatPr baseColWidth="10" defaultRowHeight="14.5" x14ac:dyDescent="0.35"/>
  <sheetData>
    <row r="2" spans="2:3" x14ac:dyDescent="0.35">
      <c r="B2" s="2" t="s">
        <v>21</v>
      </c>
      <c r="C2" s="2" t="s">
        <v>22</v>
      </c>
    </row>
    <row r="3" spans="2:3" x14ac:dyDescent="0.35">
      <c r="B3" s="4">
        <v>-5</v>
      </c>
      <c r="C3" s="4">
        <f>2*(B3)-4</f>
        <v>-14</v>
      </c>
    </row>
    <row r="4" spans="2:3" x14ac:dyDescent="0.35">
      <c r="B4" s="4">
        <v>-4</v>
      </c>
      <c r="C4" s="4">
        <f t="shared" ref="C4:C13" si="0">2*(B4)-4</f>
        <v>-12</v>
      </c>
    </row>
    <row r="5" spans="2:3" x14ac:dyDescent="0.35">
      <c r="B5" s="4">
        <v>-3</v>
      </c>
      <c r="C5" s="4">
        <f t="shared" si="0"/>
        <v>-10</v>
      </c>
    </row>
    <row r="6" spans="2:3" x14ac:dyDescent="0.35">
      <c r="B6" s="4">
        <v>-2</v>
      </c>
      <c r="C6" s="4">
        <f t="shared" si="0"/>
        <v>-8</v>
      </c>
    </row>
    <row r="7" spans="2:3" x14ac:dyDescent="0.35">
      <c r="B7" s="4">
        <v>-1</v>
      </c>
      <c r="C7" s="4">
        <f t="shared" si="0"/>
        <v>-6</v>
      </c>
    </row>
    <row r="8" spans="2:3" x14ac:dyDescent="0.35">
      <c r="B8" s="4">
        <v>0</v>
      </c>
      <c r="C8" s="4">
        <f t="shared" si="0"/>
        <v>-4</v>
      </c>
    </row>
    <row r="9" spans="2:3" x14ac:dyDescent="0.35">
      <c r="B9" s="4">
        <v>1</v>
      </c>
      <c r="C9" s="4">
        <f t="shared" si="0"/>
        <v>-2</v>
      </c>
    </row>
    <row r="10" spans="2:3" x14ac:dyDescent="0.35">
      <c r="B10" s="4">
        <v>2</v>
      </c>
      <c r="C10" s="4">
        <f t="shared" si="0"/>
        <v>0</v>
      </c>
    </row>
    <row r="11" spans="2:3" x14ac:dyDescent="0.35">
      <c r="B11" s="4">
        <v>3</v>
      </c>
      <c r="C11" s="4">
        <f t="shared" si="0"/>
        <v>2</v>
      </c>
    </row>
    <row r="12" spans="2:3" x14ac:dyDescent="0.35">
      <c r="B12" s="4">
        <v>4</v>
      </c>
      <c r="C12" s="4">
        <f t="shared" si="0"/>
        <v>4</v>
      </c>
    </row>
    <row r="13" spans="2:3" x14ac:dyDescent="0.35">
      <c r="B13" s="4">
        <v>5</v>
      </c>
      <c r="C13" s="4">
        <f t="shared" si="0"/>
        <v>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AC15C-EE5E-4324-8170-469F0D27AB0E}">
  <sheetPr codeName="Hoja5"/>
  <dimension ref="A1:C46"/>
  <sheetViews>
    <sheetView workbookViewId="0">
      <selection activeCell="I21" sqref="I21"/>
    </sheetView>
  </sheetViews>
  <sheetFormatPr baseColWidth="10" defaultRowHeight="14.5" x14ac:dyDescent="0.35"/>
  <cols>
    <col min="1" max="1" width="13.90625" customWidth="1"/>
  </cols>
  <sheetData>
    <row r="1" spans="1:3" x14ac:dyDescent="0.35">
      <c r="A1" t="s">
        <v>23</v>
      </c>
    </row>
    <row r="2" spans="1:3" x14ac:dyDescent="0.35">
      <c r="A2" t="s">
        <v>27</v>
      </c>
    </row>
    <row r="4" spans="1:3" ht="29" x14ac:dyDescent="0.35">
      <c r="A4" s="6" t="s">
        <v>25</v>
      </c>
      <c r="B4" s="6" t="s">
        <v>24</v>
      </c>
      <c r="C4" s="2" t="s">
        <v>26</v>
      </c>
    </row>
    <row r="5" spans="1:3" x14ac:dyDescent="0.35">
      <c r="A5" s="2">
        <v>30</v>
      </c>
      <c r="B5" s="2">
        <v>1</v>
      </c>
      <c r="C5" s="2" cm="1">
        <f t="array" ref="C5">calcularEspacio($A$5,B5)</f>
        <v>25</v>
      </c>
    </row>
    <row r="6" spans="1:3" x14ac:dyDescent="0.35">
      <c r="A6" s="2"/>
      <c r="B6" s="2">
        <v>2</v>
      </c>
      <c r="C6" s="2" cm="1">
        <f t="array" ref="C6">calcularEspacio($A$5,B6)</f>
        <v>40</v>
      </c>
    </row>
    <row r="7" spans="1:3" x14ac:dyDescent="0.35">
      <c r="A7" s="2"/>
      <c r="B7" s="2">
        <v>3</v>
      </c>
      <c r="C7" s="2" cm="1">
        <f t="array" ref="C7">calcularEspacio($A$5,B7)</f>
        <v>45</v>
      </c>
    </row>
    <row r="8" spans="1:3" x14ac:dyDescent="0.35">
      <c r="A8" s="2"/>
      <c r="B8" s="2">
        <v>4</v>
      </c>
      <c r="C8" s="2" cm="1">
        <f t="array" ref="C8">calcularEspacio($A$5,B8)</f>
        <v>40</v>
      </c>
    </row>
    <row r="9" spans="1:3" x14ac:dyDescent="0.35">
      <c r="A9" s="2"/>
      <c r="B9" s="2">
        <v>5</v>
      </c>
      <c r="C9" s="2" cm="1">
        <f t="array" ref="C9">calcularEspacio($A$5,B9)</f>
        <v>25</v>
      </c>
    </row>
    <row r="10" spans="1:3" x14ac:dyDescent="0.35">
      <c r="A10" s="2"/>
      <c r="B10" s="2">
        <v>6</v>
      </c>
      <c r="C10" s="2" cm="1">
        <f t="array" ref="C10">calcularEspacio($A$5,B10)</f>
        <v>0</v>
      </c>
    </row>
    <row r="11" spans="1:3" x14ac:dyDescent="0.35">
      <c r="A11" s="2"/>
      <c r="B11" s="2">
        <v>7</v>
      </c>
      <c r="C11" s="2" cm="1">
        <f t="array" ref="C11">calcularEspacio($A$5,B11)</f>
        <v>-35</v>
      </c>
    </row>
    <row r="12" spans="1:3" x14ac:dyDescent="0.35">
      <c r="A12" s="2"/>
      <c r="B12" s="2">
        <v>8</v>
      </c>
      <c r="C12" s="2" cm="1">
        <f t="array" ref="C12">calcularEspacio($A$5,B12)</f>
        <v>-80</v>
      </c>
    </row>
    <row r="13" spans="1:3" x14ac:dyDescent="0.35">
      <c r="A13" s="2"/>
      <c r="B13" s="2">
        <v>9</v>
      </c>
      <c r="C13" s="2" cm="1">
        <f t="array" ref="C13">calcularEspacio($A$5,B13)</f>
        <v>-135</v>
      </c>
    </row>
    <row r="14" spans="1:3" x14ac:dyDescent="0.35">
      <c r="A14" s="2"/>
      <c r="B14" s="2">
        <v>10</v>
      </c>
      <c r="C14" s="2" cm="1">
        <f t="array" ref="C14">calcularEspacio($A$5,B14)</f>
        <v>-200</v>
      </c>
    </row>
    <row r="16" spans="1:3" x14ac:dyDescent="0.35">
      <c r="A16" t="s">
        <v>28</v>
      </c>
    </row>
    <row r="34" spans="1:1" x14ac:dyDescent="0.35">
      <c r="A34" t="s">
        <v>29</v>
      </c>
    </row>
    <row r="36" spans="1:1" x14ac:dyDescent="0.35">
      <c r="A36" t="s">
        <v>30</v>
      </c>
    </row>
    <row r="38" spans="1:1" x14ac:dyDescent="0.35">
      <c r="A38" t="s">
        <v>31</v>
      </c>
    </row>
    <row r="44" spans="1:1" x14ac:dyDescent="0.35">
      <c r="A44" t="s">
        <v>32</v>
      </c>
    </row>
    <row r="46" spans="1:1" x14ac:dyDescent="0.35">
      <c r="A46" t="s">
        <v>33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21203-8ADA-4595-A669-980667840AB7}">
  <sheetPr codeName="Hoja3"/>
  <dimension ref="A1:M54"/>
  <sheetViews>
    <sheetView tabSelected="1" workbookViewId="0">
      <selection activeCell="D55" sqref="D55"/>
    </sheetView>
  </sheetViews>
  <sheetFormatPr baseColWidth="10" defaultRowHeight="14.5" x14ac:dyDescent="0.35"/>
  <sheetData>
    <row r="1" spans="1:13" x14ac:dyDescent="0.35">
      <c r="A1" s="11" t="s">
        <v>34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13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</row>
    <row r="3" spans="1:13" x14ac:dyDescent="0.3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</row>
    <row r="5" spans="1:13" x14ac:dyDescent="0.35">
      <c r="A5" t="s">
        <v>35</v>
      </c>
    </row>
    <row r="7" spans="1:13" x14ac:dyDescent="0.35">
      <c r="A7" s="2" t="s">
        <v>36</v>
      </c>
      <c r="B7" s="2" t="s">
        <v>37</v>
      </c>
      <c r="C7" s="2" t="s">
        <v>38</v>
      </c>
      <c r="D7" s="10"/>
      <c r="E7" s="10"/>
    </row>
    <row r="8" spans="1:13" x14ac:dyDescent="0.35">
      <c r="A8" s="2">
        <v>-5</v>
      </c>
      <c r="B8" s="2">
        <v>-20</v>
      </c>
      <c r="C8" s="2" cm="1">
        <f t="array" ref="C8">calcularAltura(A8)</f>
        <v>-460</v>
      </c>
      <c r="D8" s="10"/>
      <c r="E8" s="10"/>
    </row>
    <row r="9" spans="1:13" x14ac:dyDescent="0.35">
      <c r="A9" s="2">
        <v>-4</v>
      </c>
      <c r="B9" s="2">
        <v>-6</v>
      </c>
      <c r="C9" s="2" cm="1">
        <f t="array" ref="C9">calcularAltura(A9)</f>
        <v>-284</v>
      </c>
      <c r="D9" s="10"/>
      <c r="E9" s="10"/>
    </row>
    <row r="10" spans="1:13" x14ac:dyDescent="0.35">
      <c r="A10" s="2">
        <v>-3</v>
      </c>
      <c r="B10" s="2">
        <v>8</v>
      </c>
      <c r="C10" s="2" cm="1">
        <f t="array" ref="C10">calcularAltura(A10)</f>
        <v>-140</v>
      </c>
      <c r="D10" s="10"/>
      <c r="E10" s="10"/>
    </row>
    <row r="11" spans="1:13" x14ac:dyDescent="0.35">
      <c r="A11" s="2">
        <v>-2</v>
      </c>
      <c r="B11" s="2">
        <v>22</v>
      </c>
      <c r="C11" s="2" cm="1">
        <f t="array" ref="C11">calcularAltura(A11)</f>
        <v>-28</v>
      </c>
      <c r="D11" s="10"/>
      <c r="E11" s="10"/>
    </row>
    <row r="12" spans="1:13" x14ac:dyDescent="0.35">
      <c r="A12" s="2">
        <v>-1</v>
      </c>
      <c r="B12" s="2">
        <v>36</v>
      </c>
      <c r="C12" s="2" cm="1">
        <f t="array" ref="C12">calcularAltura(A12)</f>
        <v>52</v>
      </c>
      <c r="D12" s="10"/>
      <c r="E12" s="10"/>
    </row>
    <row r="13" spans="1:13" x14ac:dyDescent="0.35">
      <c r="A13" s="2">
        <v>0</v>
      </c>
      <c r="B13" s="2">
        <v>50</v>
      </c>
      <c r="C13" s="2" cm="1">
        <f t="array" ref="C13">calcularAltura(A13)</f>
        <v>100</v>
      </c>
      <c r="D13" s="10"/>
      <c r="E13" s="10"/>
    </row>
    <row r="14" spans="1:13" x14ac:dyDescent="0.35">
      <c r="A14" s="2">
        <v>1</v>
      </c>
      <c r="B14" s="2">
        <v>64</v>
      </c>
      <c r="C14" s="2" cm="1">
        <f t="array" ref="C14">calcularAltura(A14)</f>
        <v>116</v>
      </c>
      <c r="D14" s="10"/>
      <c r="E14" s="10"/>
    </row>
    <row r="15" spans="1:13" x14ac:dyDescent="0.35">
      <c r="A15" s="2">
        <v>2</v>
      </c>
      <c r="B15" s="2">
        <v>78</v>
      </c>
      <c r="C15" s="2" cm="1">
        <f t="array" ref="C15">calcularAltura(A15)</f>
        <v>100</v>
      </c>
      <c r="D15" s="10"/>
      <c r="E15" s="10"/>
    </row>
    <row r="16" spans="1:13" x14ac:dyDescent="0.35">
      <c r="A16" s="2">
        <v>3</v>
      </c>
      <c r="B16" s="2">
        <v>92</v>
      </c>
      <c r="C16" s="2" cm="1">
        <f t="array" ref="C16">calcularAltura(A16)</f>
        <v>52</v>
      </c>
      <c r="D16" s="10"/>
      <c r="E16" s="10"/>
    </row>
    <row r="17" spans="1:5" x14ac:dyDescent="0.35">
      <c r="A17" s="2">
        <v>4</v>
      </c>
      <c r="B17" s="2">
        <v>106</v>
      </c>
      <c r="C17" s="2" cm="1">
        <f t="array" ref="C17">calcularAltura(A17)</f>
        <v>-28</v>
      </c>
      <c r="D17" s="10"/>
      <c r="E17" s="10"/>
    </row>
    <row r="18" spans="1:5" x14ac:dyDescent="0.35">
      <c r="A18" s="2">
        <v>5</v>
      </c>
      <c r="B18" s="2">
        <v>120</v>
      </c>
      <c r="C18" s="2" cm="1">
        <f t="array" ref="C18">calcularAltura(A18)</f>
        <v>-140</v>
      </c>
      <c r="D18" s="10"/>
      <c r="E18" s="10"/>
    </row>
    <row r="22" spans="1:5" x14ac:dyDescent="0.35">
      <c r="A22" t="s">
        <v>39</v>
      </c>
    </row>
    <row r="24" spans="1:5" x14ac:dyDescent="0.35">
      <c r="A24" t="s">
        <v>40</v>
      </c>
    </row>
    <row r="27" spans="1:5" x14ac:dyDescent="0.35">
      <c r="A27" t="s">
        <v>41</v>
      </c>
    </row>
    <row r="29" spans="1:5" x14ac:dyDescent="0.35">
      <c r="A29" t="s">
        <v>42</v>
      </c>
    </row>
    <row r="31" spans="1:5" x14ac:dyDescent="0.35">
      <c r="A31" t="s">
        <v>46</v>
      </c>
    </row>
    <row r="33" spans="1:2" x14ac:dyDescent="0.35">
      <c r="A33" s="2" t="s">
        <v>43</v>
      </c>
      <c r="B33" s="2" t="s">
        <v>44</v>
      </c>
    </row>
    <row r="34" spans="1:2" x14ac:dyDescent="0.35">
      <c r="A34" s="2">
        <v>0.5</v>
      </c>
      <c r="B34" s="2" cm="1">
        <f t="array" ref="B34">calcularAltura(A34)</f>
        <v>112</v>
      </c>
    </row>
    <row r="36" spans="1:2" x14ac:dyDescent="0.35">
      <c r="A36" t="s">
        <v>45</v>
      </c>
    </row>
    <row r="38" spans="1:2" x14ac:dyDescent="0.35">
      <c r="A38" t="s">
        <v>47</v>
      </c>
    </row>
    <row r="40" spans="1:2" x14ac:dyDescent="0.35">
      <c r="A40" t="s">
        <v>48</v>
      </c>
    </row>
    <row r="42" spans="1:2" x14ac:dyDescent="0.35">
      <c r="A42" t="s">
        <v>49</v>
      </c>
    </row>
    <row r="44" spans="1:2" x14ac:dyDescent="0.35">
      <c r="A44" t="s">
        <v>50</v>
      </c>
    </row>
    <row r="46" spans="1:2" x14ac:dyDescent="0.35">
      <c r="A46" s="2" t="s">
        <v>43</v>
      </c>
      <c r="B46" s="2" t="s">
        <v>44</v>
      </c>
    </row>
    <row r="47" spans="1:2" x14ac:dyDescent="0.35">
      <c r="A47" s="2">
        <v>1</v>
      </c>
      <c r="B47" s="2" cm="1">
        <f t="array" ref="B47">calcularAltura(A47)</f>
        <v>116</v>
      </c>
    </row>
    <row r="49" spans="1:2" x14ac:dyDescent="0.35">
      <c r="A49" t="s">
        <v>51</v>
      </c>
    </row>
    <row r="51" spans="1:2" x14ac:dyDescent="0.35">
      <c r="A51" t="s">
        <v>52</v>
      </c>
    </row>
    <row r="53" spans="1:2" x14ac:dyDescent="0.35">
      <c r="A53" s="2" t="s">
        <v>43</v>
      </c>
      <c r="B53" s="2" t="s">
        <v>44</v>
      </c>
    </row>
    <row r="54" spans="1:2" x14ac:dyDescent="0.35">
      <c r="A54" s="2">
        <v>3.694</v>
      </c>
      <c r="B54" s="2" cm="1">
        <f t="array" ref="B54">calcularAltura(A54)</f>
        <v>-0.12217599999999607</v>
      </c>
    </row>
  </sheetData>
  <mergeCells count="1">
    <mergeCell ref="A1:M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Ejercicio 3</vt:lpstr>
      <vt:lpstr>Ejercicio 2</vt:lpstr>
      <vt:lpstr>pendiente</vt:lpstr>
      <vt:lpstr>Ejercicio 8</vt:lpstr>
      <vt:lpstr>Tarea</vt:lpstr>
    </vt:vector>
  </TitlesOfParts>
  <Company>Harol Goez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Harol Goez</dc:creator>
  <cp:lastModifiedBy>Harol Goez</cp:lastModifiedBy>
  <dcterms:created xsi:type="dcterms:W3CDTF">2024-02-20T23:29:15Z</dcterms:created>
  <dcterms:modified xsi:type="dcterms:W3CDTF">2024-02-27T19:17:18Z</dcterms:modified>
</cp:coreProperties>
</file>